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Data" state="visible" r:id="rId5"/>
    <sheet sheetId="3" name="Formatting" state="visible" r:id="rId6"/>
  </sheets>
  <calcPr calcId="171027"/>
</workbook>
</file>

<file path=xl/sharedStrings.xml><?xml version="1.0" encoding="utf-8"?>
<sst xmlns="http://schemas.openxmlformats.org/spreadsheetml/2006/main" count="218" uniqueCount="173">
  <si>
    <t>Mog Analytics Dashboard</t>
  </si>
  <si>
    <t>Q1 2026 Performance Overview</t>
  </si>
  <si>
    <t>Revenue</t>
  </si>
  <si>
    <t>Active Users</t>
  </si>
  <si>
    <t>Growth</t>
  </si>
  <si>
    <t>Satisfaction</t>
  </si>
  <si>
    <t/>
  </si>
  <si>
    <t>Month</t>
  </si>
  <si>
    <t>Users</t>
  </si>
  <si>
    <t>MRR</t>
  </si>
  <si>
    <t>Churn</t>
  </si>
  <si>
    <t>Status</t>
  </si>
  <si>
    <t>Jan 2026</t>
  </si>
  <si>
    <t>Good</t>
  </si>
  <si>
    <t>Feb 2026</t>
  </si>
  <si>
    <t>Mar 2026</t>
  </si>
  <si>
    <t>Fair</t>
  </si>
  <si>
    <t>Apr 2026</t>
  </si>
  <si>
    <t>May 2026</t>
  </si>
  <si>
    <t>Jun 2026</t>
  </si>
  <si>
    <t>Poor</t>
  </si>
  <si>
    <t>Jul 2026</t>
  </si>
  <si>
    <t>Aug 2026</t>
  </si>
  <si>
    <t>Sep 2026</t>
  </si>
  <si>
    <t>Oct 2026</t>
  </si>
  <si>
    <t>Total / Avg</t>
  </si>
  <si>
    <t>Project Completion</t>
  </si>
  <si>
    <t>Project</t>
  </si>
  <si>
    <t>Progress</t>
  </si>
  <si>
    <t>Pct</t>
  </si>
  <si>
    <t>Frontend Redesign</t>
  </si>
  <si>
    <t>API Migration</t>
  </si>
  <si>
    <t>Data Pipeline</t>
  </si>
  <si>
    <t>Mobile App</t>
  </si>
  <si>
    <t>Security Audit</t>
  </si>
  <si>
    <t>Documentation</t>
  </si>
  <si>
    <t>Performance Opt.</t>
  </si>
  <si>
    <t>CI/CD Pipeline</t>
  </si>
  <si>
    <t>ID</t>
  </si>
  <si>
    <t>Employee</t>
  </si>
  <si>
    <t>Department</t>
  </si>
  <si>
    <t>Hire Date</t>
  </si>
  <si>
    <t>Salary</t>
  </si>
  <si>
    <t>Bonus %</t>
  </si>
  <si>
    <t>Total Comp</t>
  </si>
  <si>
    <t>Rating</t>
  </si>
  <si>
    <t>Grade</t>
  </si>
  <si>
    <t>Dept Avg Salary</t>
  </si>
  <si>
    <t>Alice Chen</t>
  </si>
  <si>
    <t>Engineering</t>
  </si>
  <si>
    <t>Bob Martinez</t>
  </si>
  <si>
    <t>Marketing</t>
  </si>
  <si>
    <t>Carol Tanaka</t>
  </si>
  <si>
    <t>Sales</t>
  </si>
  <si>
    <t>David Kim</t>
  </si>
  <si>
    <t>Product</t>
  </si>
  <si>
    <t>Emma Wilson</t>
  </si>
  <si>
    <t>Finance</t>
  </si>
  <si>
    <t>Frank Liu</t>
  </si>
  <si>
    <t>Grace Patel</t>
  </si>
  <si>
    <t>Henry O'Brien</t>
  </si>
  <si>
    <t>Iris Johansson</t>
  </si>
  <si>
    <t>Jack Nguyen</t>
  </si>
  <si>
    <t>Karen Schmidt</t>
  </si>
  <si>
    <t>Leo Costa</t>
  </si>
  <si>
    <t>Maya Thompson</t>
  </si>
  <si>
    <t>Noah Ibrahim</t>
  </si>
  <si>
    <t>Olivia Park</t>
  </si>
  <si>
    <t>Peter Volkov</t>
  </si>
  <si>
    <t>Quinn Murphy</t>
  </si>
  <si>
    <t>Rachel Weiss</t>
  </si>
  <si>
    <t>Sam Okafor</t>
  </si>
  <si>
    <t>Tina Larsson</t>
  </si>
  <si>
    <t>Summary:</t>
  </si>
  <si>
    <t>Count:</t>
  </si>
  <si>
    <t>Max Salary:</t>
  </si>
  <si>
    <t>Min Salary:</t>
  </si>
  <si>
    <t>Text Styles</t>
  </si>
  <si>
    <t>Bold Text</t>
  </si>
  <si>
    <t>Italic Text</t>
  </si>
  <si>
    <t>Underline</t>
  </si>
  <si>
    <t>Strikethrough</t>
  </si>
  <si>
    <t>Bold + Italic</t>
  </si>
  <si>
    <t>Double Underline</t>
  </si>
  <si>
    <t>Font Sizes</t>
  </si>
  <si>
    <t>8px</t>
  </si>
  <si>
    <t>10px</t>
  </si>
  <si>
    <t>12px</t>
  </si>
  <si>
    <t>14px</t>
  </si>
  <si>
    <t>18px</t>
  </si>
  <si>
    <t>24px</t>
  </si>
  <si>
    <t>28px</t>
  </si>
  <si>
    <t>Color Palette</t>
  </si>
  <si>
    <t>#003F88</t>
  </si>
  <si>
    <t>#0066CC</t>
  </si>
  <si>
    <t>#2563EB</t>
  </si>
  <si>
    <t>#60A5FA</t>
  </si>
  <si>
    <t>#93C5FD</t>
  </si>
  <si>
    <t>#BFDBFE</t>
  </si>
  <si>
    <t>#DBEAFE</t>
  </si>
  <si>
    <t>#14532D</t>
  </si>
  <si>
    <t>#166534</t>
  </si>
  <si>
    <t>#16A34A</t>
  </si>
  <si>
    <t>#4ADE80</t>
  </si>
  <si>
    <t>#86EFAC</t>
  </si>
  <si>
    <t>#BBF7D0</t>
  </si>
  <si>
    <t>#DCFCE7</t>
  </si>
  <si>
    <t>#78650A</t>
  </si>
  <si>
    <t>#9A7D1A</t>
  </si>
  <si>
    <t>#C8A951</t>
  </si>
  <si>
    <t>#D4B96A</t>
  </si>
  <si>
    <t>#E0CC8F</t>
  </si>
  <si>
    <t>#F5EFD5</t>
  </si>
  <si>
    <t>#FFFDF5</t>
  </si>
  <si>
    <t>#7F1D1D</t>
  </si>
  <si>
    <t>#991B1B</t>
  </si>
  <si>
    <t>#DC2626</t>
  </si>
  <si>
    <t>#F87171</t>
  </si>
  <si>
    <t>#FCA5A5</t>
  </si>
  <si>
    <t>#FECACA</t>
  </si>
  <si>
    <t>#FEE2E2</t>
  </si>
  <si>
    <t>#3B0764</t>
  </si>
  <si>
    <t>#581C87</t>
  </si>
  <si>
    <t>#7C3AED</t>
  </si>
  <si>
    <t>#A78BFA</t>
  </si>
  <si>
    <t>#C4B5FD</t>
  </si>
  <si>
    <t>#DDD6FE</t>
  </si>
  <si>
    <t>#EDE9FE</t>
  </si>
  <si>
    <t>Border Styles</t>
  </si>
  <si>
    <t>Thin</t>
  </si>
  <si>
    <t>Medium</t>
  </si>
  <si>
    <t>Thick</t>
  </si>
  <si>
    <t>Double</t>
  </si>
  <si>
    <t>Dotted</t>
  </si>
  <si>
    <t>Dashed</t>
  </si>
  <si>
    <t>Text Alignment</t>
  </si>
  <si>
    <t>left</t>
  </si>
  <si>
    <t>center</t>
  </si>
  <si>
    <t>right</t>
  </si>
  <si>
    <t>top</t>
  </si>
  <si>
    <t>top-left</t>
  </si>
  <si>
    <t>top-center</t>
  </si>
  <si>
    <t>top-right</t>
  </si>
  <si>
    <t>middle</t>
  </si>
  <si>
    <t>middle-left</t>
  </si>
  <si>
    <t>middle-center</t>
  </si>
  <si>
    <t>middle-right</t>
  </si>
  <si>
    <t>bottom</t>
  </si>
  <si>
    <t>bottom-left</t>
  </si>
  <si>
    <t>bottom-center</t>
  </si>
  <si>
    <t>bottom-right</t>
  </si>
  <si>
    <t>Text Wrapping &amp; Merged Cells</t>
  </si>
  <si>
    <t>This is a long text that demonstrates text wrapping within a cell. The text should wrap to multiple lines automatically.</t>
  </si>
  <si>
    <t>Merged 3x2 Cell</t>
  </si>
  <si>
    <t>Horizontal Merge</t>
  </si>
  <si>
    <t>Number Formats</t>
  </si>
  <si>
    <t>Format</t>
  </si>
  <si>
    <t>Value</t>
  </si>
  <si>
    <t>Pattern</t>
  </si>
  <si>
    <t>Currency</t>
  </si>
  <si>
    <t>$#,##0.00</t>
  </si>
  <si>
    <t>Accounting</t>
  </si>
  <si>
    <t>_($* #,##0.00_)</t>
  </si>
  <si>
    <t>Percentage</t>
  </si>
  <si>
    <t>0.00%</t>
  </si>
  <si>
    <t>Scientific</t>
  </si>
  <si>
    <t>0.00E+00</t>
  </si>
  <si>
    <t>Fraction</t>
  </si>
  <si>
    <t># ?/?</t>
  </si>
  <si>
    <t>Custom Date</t>
  </si>
  <si>
    <t>YYYY-MM-DD</t>
  </si>
  <si>
    <t>Thousands</t>
  </si>
  <si>
    <t>#,##0,"K"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</si>
</sst>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$#,##0"/>
    <numFmt numFmtId="165" formatCode="+0%"/>
    <numFmt numFmtId="166" formatCode="0.0&quot;/5.0&quot;"/>
    <numFmt numFmtId="167" formatCode="+0.0%;-0.0%"/>
    <numFmt numFmtId="168" formatCode="0.0%"/>
    <numFmt numFmtId="169" formatCode="MMM D, YYYY"/>
    <numFmt numFmtId="170" formatCode="0.0"/>
    <numFmt numFmtId="171" formatCode="$#,##0.00"/>
    <numFmt numFmtId="172" formatCode="_($* #,##0.00_)"/>
    <numFmt numFmtId="173" formatCode="YYYY-MM-DD"/>
    <numFmt numFmtId="174" formatCode="#,##0,&quot;K&quot;"/>
  </numFmts>
  <fonts count="38" x14ac:knownFonts="1">
    <font>
      <color theme="1"/>
      <family val="2"/>
      <scheme val="minor"/>
      <sz val="11"/>
      <name val="Calibri"/>
    </font>
    <font>
      <b/>
      <color rgb="1A1A2E"/>
      <sz val="20"/>
      <name val="Inter"/>
    </font>
    <font>
      <color rgb="6B6B78"/>
      <sz val="11"/>
      <name val="Inter"/>
    </font>
    <font>
      <color rgb="6B6B78"/>
      <sz val="10"/>
      <name val="Inter"/>
    </font>
    <font>
      <b/>
      <color rgb="1A1A2E"/>
      <sz val="22"/>
      <name val="Inter"/>
    </font>
    <font>
      <b/>
      <color rgb="FFFFFF"/>
      <sz val="10"/>
      <name val="Inter"/>
    </font>
    <font>
      <color rgb="1A1A2E"/>
      <sz val="10"/>
      <name val="Inter"/>
    </font>
    <font>
      <b/>
      <color rgb="16A34A"/>
      <sz val="10"/>
      <name val="Inter"/>
    </font>
    <font>
      <b/>
      <color rgb="16A34A"/>
      <sz val="9"/>
      <name val="Inter"/>
    </font>
    <font>
      <b/>
      <color rgb="DC2626"/>
      <sz val="10"/>
      <name val="Inter"/>
    </font>
    <font>
      <b/>
      <color rgb="D97706"/>
      <sz val="9"/>
      <name val="Inter"/>
    </font>
    <font>
      <b/>
      <color rgb="DC2626"/>
      <sz val="9"/>
      <name val="Inter"/>
    </font>
    <font>
      <b/>
      <color rgb="1A1A2E"/>
      <sz val="10"/>
      <name val="Inter"/>
    </font>
    <font>
      <b/>
      <color rgb="1A1A2E"/>
      <sz val="14"/>
      <name val="Inter"/>
    </font>
    <font>
      <b/>
      <color rgb="6B6B78"/>
      <sz val="10"/>
      <name val="Inter"/>
    </font>
    <font>
      <b/>
      <color rgb="1A1A2E"/>
      <sz val="9"/>
      <name val="Inter"/>
    </font>
    <font>
      <b/>
      <color rgb="D97706"/>
      <sz val="10"/>
      <name val="Inter"/>
    </font>
    <font>
      <b/>
      <color rgb="FFFFFF"/>
      <sz val="11"/>
      <name val="Inter"/>
    </font>
    <font>
      <b/>
      <color rgb="C8A951"/>
      <sz val="10"/>
      <name val="Inter"/>
    </font>
    <font>
      <b/>
      <color rgb="1A1A2E"/>
      <sz val="16"/>
      <name val="Inter"/>
    </font>
    <font>
      <b/>
      <color rgb="1A1A2E"/>
      <sz val="12"/>
      <name val="Inter"/>
    </font>
    <font>
      <i/>
      <color rgb="1A1A2E"/>
      <sz val="12"/>
      <name val="Inter"/>
    </font>
    <font>
      <u/>
      <color rgb="1A1A2E"/>
      <sz val="12"/>
      <name val="Inter"/>
    </font>
    <font>
      <color rgb="1A1A2E"/>
      <strike/>
      <sz val="12"/>
      <name val="Inter"/>
    </font>
    <font>
      <b/>
      <i/>
      <color rgb="1A1A2E"/>
      <sz val="12"/>
      <name val="Inter"/>
    </font>
    <font>
      <u val="double"/>
      <color rgb="1A1A2E"/>
      <sz val="12"/>
      <name val="Inter"/>
    </font>
    <font>
      <color rgb="1A1A2E"/>
      <sz val="8"/>
      <name val="Inter"/>
    </font>
    <font>
      <color rgb="1A1A2E"/>
      <sz val="12"/>
      <name val="Inter"/>
    </font>
    <font>
      <color rgb="1A1A2E"/>
      <sz val="14"/>
      <name val="Inter"/>
    </font>
    <font>
      <color rgb="1A1A2E"/>
      <sz val="18"/>
      <name val="Inter"/>
    </font>
    <font>
      <color rgb="1A1A2E"/>
      <sz val="24"/>
      <name val="Inter"/>
    </font>
    <font>
      <color rgb="1A1A2E"/>
      <sz val="28"/>
      <name val="Inter"/>
    </font>
    <font>
      <color rgb="FFFFFF"/>
      <sz val="8"/>
      <name val="Inter"/>
    </font>
    <font>
      <b/>
      <color rgb="6B6B78"/>
      <sz val="9"/>
      <name val="Inter"/>
    </font>
    <font>
      <color rgb="1A1A2E"/>
      <sz val="9"/>
      <name val="Inter"/>
    </font>
    <font>
      <b/>
      <color rgb="C8A951"/>
      <sz val="14"/>
      <name val="Inter"/>
    </font>
    <font>
      <b/>
      <color rgb="2563EB"/>
      <sz val="10"/>
      <name val="Inter"/>
    </font>
    <font>
      <color rgb="A0A0AB"/>
      <sz val="9"/>
      <name val="Inter"/>
    </font>
  </fonts>
  <fills count="41">
    <fill>
      <patternFill patternType="none"/>
    </fill>
    <fill>
      <patternFill patternType="gray125"/>
    </fill>
    <fill>
      <patternFill patternType="solid">
        <fgColor rgb="FFFDF5"/>
      </patternFill>
    </fill>
    <fill>
      <patternFill patternType="solid">
        <fgColor rgb="1A1A2E"/>
      </patternFill>
    </fill>
    <fill>
      <patternFill patternType="solid">
        <fgColor rgb="FFFFFF"/>
      </patternFill>
    </fill>
    <fill>
      <patternFill patternType="solid">
        <fgColor rgb="DCFCE7"/>
      </patternFill>
    </fill>
    <fill>
      <patternFill patternType="solid">
        <fgColor rgb="F7F7F8"/>
      </patternFill>
    </fill>
    <fill>
      <patternFill patternType="solid">
        <fgColor rgb="FEF3C7"/>
      </patternFill>
    </fill>
    <fill>
      <patternFill patternType="solid">
        <fgColor rgb="FEE2E2"/>
      </patternFill>
    </fill>
    <fill>
      <patternFill patternType="solid">
        <fgColor rgb="F5EFD5"/>
      </patternFill>
    </fill>
    <fill>
      <patternFill patternType="solid">
        <fgColor rgb="003F88"/>
      </patternFill>
    </fill>
    <fill>
      <patternFill patternType="solid">
        <fgColor rgb="0066CC"/>
      </patternFill>
    </fill>
    <fill>
      <patternFill patternType="solid">
        <fgColor rgb="2563EB"/>
      </patternFill>
    </fill>
    <fill>
      <patternFill patternType="solid">
        <fgColor rgb="60A5FA"/>
      </patternFill>
    </fill>
    <fill>
      <patternFill patternType="solid">
        <fgColor rgb="93C5FD"/>
      </patternFill>
    </fill>
    <fill>
      <patternFill patternType="solid">
        <fgColor rgb="BFDBFE"/>
      </patternFill>
    </fill>
    <fill>
      <patternFill patternType="solid">
        <fgColor rgb="DBEAFE"/>
      </patternFill>
    </fill>
    <fill>
      <patternFill patternType="solid">
        <fgColor rgb="14532D"/>
      </patternFill>
    </fill>
    <fill>
      <patternFill patternType="solid">
        <fgColor rgb="166534"/>
      </patternFill>
    </fill>
    <fill>
      <patternFill patternType="solid">
        <fgColor rgb="16A34A"/>
      </patternFill>
    </fill>
    <fill>
      <patternFill patternType="solid">
        <fgColor rgb="4ADE80"/>
      </patternFill>
    </fill>
    <fill>
      <patternFill patternType="solid">
        <fgColor rgb="86EFAC"/>
      </patternFill>
    </fill>
    <fill>
      <patternFill patternType="solid">
        <fgColor rgb="BBF7D0"/>
      </patternFill>
    </fill>
    <fill>
      <patternFill patternType="solid">
        <fgColor rgb="78650A"/>
      </patternFill>
    </fill>
    <fill>
      <patternFill patternType="solid">
        <fgColor rgb="9A7D1A"/>
      </patternFill>
    </fill>
    <fill>
      <patternFill patternType="solid">
        <fgColor rgb="C8A951"/>
      </patternFill>
    </fill>
    <fill>
      <patternFill patternType="solid">
        <fgColor rgb="D4B96A"/>
      </patternFill>
    </fill>
    <fill>
      <patternFill patternType="solid">
        <fgColor rgb="E0CC8F"/>
      </patternFill>
    </fill>
    <fill>
      <patternFill patternType="solid">
        <fgColor rgb="7F1D1D"/>
      </patternFill>
    </fill>
    <fill>
      <patternFill patternType="solid">
        <fgColor rgb="991B1B"/>
      </patternFill>
    </fill>
    <fill>
      <patternFill patternType="solid">
        <fgColor rgb="DC2626"/>
      </patternFill>
    </fill>
    <fill>
      <patternFill patternType="solid">
        <fgColor rgb="F87171"/>
      </patternFill>
    </fill>
    <fill>
      <patternFill patternType="solid">
        <fgColor rgb="FCA5A5"/>
      </patternFill>
    </fill>
    <fill>
      <patternFill patternType="solid">
        <fgColor rgb="FECACA"/>
      </patternFill>
    </fill>
    <fill>
      <patternFill patternType="solid">
        <fgColor rgb="3B0764"/>
      </patternFill>
    </fill>
    <fill>
      <patternFill patternType="solid">
        <fgColor rgb="581C87"/>
      </patternFill>
    </fill>
    <fill>
      <patternFill patternType="solid">
        <fgColor rgb="7C3AED"/>
      </patternFill>
    </fill>
    <fill>
      <patternFill patternType="solid">
        <fgColor rgb="A78BFA"/>
      </patternFill>
    </fill>
    <fill>
      <patternFill patternType="solid">
        <fgColor rgb="C4B5FD"/>
      </patternFill>
    </fill>
    <fill>
      <patternFill patternType="solid">
        <fgColor rgb="DDD6FE"/>
      </patternFill>
    </fill>
    <fill>
      <patternFill patternType="solid">
        <fgColor rgb="EDE9FE"/>
      </patternFill>
    </fill>
  </fills>
  <borders count="18">
    <border>
      <left/>
      <right/>
      <top/>
      <bottom/>
      <diagonal/>
    </border>
    <border>
      <left style="thin">
        <color rgb="EDEDF0"/>
      </left>
      <right style="thin">
        <color rgb="EDEDF0"/>
      </right>
      <top style="medium">
        <color rgb="16A34A"/>
      </top>
      <bottom/>
      <diagonal/>
    </border>
    <border>
      <left style="thin">
        <color rgb="EDEDF0"/>
      </left>
      <right style="thin">
        <color rgb="EDEDF0"/>
      </right>
      <top style="medium">
        <color rgb="2563EB"/>
      </top>
      <bottom/>
      <diagonal/>
    </border>
    <border>
      <left style="thin">
        <color rgb="EDEDF0"/>
      </left>
      <right style="thin">
        <color rgb="EDEDF0"/>
      </right>
      <top style="medium">
        <color rgb="C8A951"/>
      </top>
      <bottom/>
      <diagonal/>
    </border>
    <border>
      <left style="thin">
        <color rgb="EDEDF0"/>
      </left>
      <right style="thin">
        <color rgb="EDEDF0"/>
      </right>
      <top style="medium">
        <color rgb="D97706"/>
      </top>
      <bottom/>
      <diagonal/>
    </border>
    <border>
      <left style="thin">
        <color rgb="EDEDF0"/>
      </left>
      <right style="thin">
        <color rgb="EDEDF0"/>
      </right>
      <top/>
      <bottom style="thin">
        <color rgb="EDEDF0"/>
      </bottom>
      <diagonal/>
    </border>
    <border>
      <left style="thin">
        <color rgb="1A1A2E"/>
      </left>
      <right style="thin">
        <color rgb="1A1A2E"/>
      </right>
      <top style="thin">
        <color rgb="1A1A2E"/>
      </top>
      <bottom style="thin">
        <color rgb="1A1A2E"/>
      </bottom>
      <diagonal/>
    </border>
    <border>
      <left style="thin">
        <color rgb="EDEDF0"/>
      </left>
      <right style="thin">
        <color rgb="EDEDF0"/>
      </right>
      <top style="thin">
        <color rgb="EDEDF0"/>
      </top>
      <bottom style="thin">
        <color rgb="EDEDF0"/>
      </bottom>
      <diagonal/>
    </border>
    <border>
      <left style="thin">
        <color rgb="EDEDF0"/>
      </left>
      <right style="thin">
        <color rgb="EDEDF0"/>
      </right>
      <top style="medium">
        <color rgb="C8A951"/>
      </top>
      <bottom style="medium">
        <color rgb="C8A951"/>
      </bottom>
      <diagonal/>
    </border>
    <border>
      <left/>
      <right/>
      <top/>
      <bottom style="thin">
        <color rgb="EDEDF0"/>
      </bottom>
      <diagonal/>
    </border>
    <border>
      <left/>
      <right/>
      <top style="medium">
        <color rgb="C8A951"/>
      </top>
      <bottom style="medium">
        <color rgb="C8A951"/>
      </bottom>
      <diagonal/>
    </border>
    <border>
      <left style="medium">
        <color rgb="1A1A2E"/>
      </left>
      <right style="medium">
        <color rgb="1A1A2E"/>
      </right>
      <top style="medium">
        <color rgb="1A1A2E"/>
      </top>
      <bottom style="medium">
        <color rgb="1A1A2E"/>
      </bottom>
      <diagonal/>
    </border>
    <border>
      <left style="thick">
        <color rgb="1A1A2E"/>
      </left>
      <right style="thick">
        <color rgb="1A1A2E"/>
      </right>
      <top style="thick">
        <color rgb="1A1A2E"/>
      </top>
      <bottom style="thick">
        <color rgb="1A1A2E"/>
      </bottom>
      <diagonal/>
    </border>
    <border>
      <left style="double">
        <color rgb="1A1A2E"/>
      </left>
      <right style="double">
        <color rgb="1A1A2E"/>
      </right>
      <top style="double">
        <color rgb="1A1A2E"/>
      </top>
      <bottom style="double">
        <color rgb="1A1A2E"/>
      </bottom>
      <diagonal/>
    </border>
    <border>
      <left style="dotted">
        <color rgb="1A1A2E"/>
      </left>
      <right style="dotted">
        <color rgb="1A1A2E"/>
      </right>
      <top style="dotted">
        <color rgb="1A1A2E"/>
      </top>
      <bottom style="dotted">
        <color rgb="1A1A2E"/>
      </bottom>
      <diagonal/>
    </border>
    <border>
      <left style="dashed">
        <color rgb="1A1A2E"/>
      </left>
      <right style="dashed">
        <color rgb="1A1A2E"/>
      </right>
      <top style="dashed">
        <color rgb="1A1A2E"/>
      </top>
      <bottom style="dashed">
        <color rgb="1A1A2E"/>
      </bottom>
      <diagonal/>
    </border>
    <border>
      <left style="medium">
        <color rgb="C8A951"/>
      </left>
      <right style="medium">
        <color rgb="C8A951"/>
      </right>
      <top style="medium">
        <color rgb="C8A951"/>
      </top>
      <bottom style="medium">
        <color rgb="C8A951"/>
      </bottom>
      <diagonal/>
    </border>
    <border>
      <left style="thin">
        <color rgb="2563EB"/>
      </left>
      <right style="thin">
        <color rgb="2563EB"/>
      </right>
      <top style="thin">
        <color rgb="2563EB"/>
      </top>
      <bottom style="thin">
        <color rgb="2563EB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bottom"/>
    </xf>
    <xf numFmtId="0" fontId="3" fillId="2" borderId="2" xfId="0" applyFont="1" applyFill="1" applyBorder="1" applyAlignment="1">
      <alignment horizontal="left" vertical="bottom"/>
    </xf>
    <xf numFmtId="0" fontId="3" fillId="2" borderId="3" xfId="0" applyFont="1" applyFill="1" applyBorder="1" applyAlignment="1">
      <alignment horizontal="left" vertical="bottom"/>
    </xf>
    <xf numFmtId="0" fontId="3" fillId="2" borderId="4" xfId="0" applyFont="1" applyFill="1" applyBorder="1" applyAlignment="1">
      <alignment horizontal="left" vertical="bottom"/>
    </xf>
    <xf numFmtId="164" fontId="4" fillId="2" borderId="5" xfId="0" applyNumberFormat="1" applyFont="1" applyFill="1" applyBorder="1" applyAlignment="1">
      <alignment horizontal="left" vertical="top"/>
    </xf>
    <xf numFmtId="3" fontId="4" fillId="2" borderId="5" xfId="0" applyNumberFormat="1" applyFont="1" applyFill="1" applyBorder="1" applyAlignment="1">
      <alignment horizontal="left" vertical="top"/>
    </xf>
    <xf numFmtId="165" fontId="4" fillId="2" borderId="5" xfId="0" applyNumberFormat="1" applyFont="1" applyFill="1" applyBorder="1" applyAlignment="1">
      <alignment horizontal="left" vertical="top"/>
    </xf>
    <xf numFmtId="166" fontId="4" fillId="2" borderId="5" xfId="0" applyNumberFormat="1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3" fontId="6" fillId="4" borderId="7" xfId="0" applyNumberFormat="1" applyFont="1" applyFill="1" applyBorder="1" applyAlignment="1">
      <alignment horizontal="center" vertical="center"/>
    </xf>
    <xf numFmtId="167" fontId="7" fillId="4" borderId="7" xfId="0" applyNumberFormat="1" applyFont="1" applyFill="1" applyBorder="1" applyAlignment="1">
      <alignment horizontal="center" vertical="center"/>
    </xf>
    <xf numFmtId="168" fontId="6" fillId="4" borderId="7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164" fontId="6" fillId="6" borderId="7" xfId="0" applyNumberFormat="1" applyFont="1" applyFill="1" applyBorder="1" applyAlignment="1">
      <alignment horizontal="center" vertical="center"/>
    </xf>
    <xf numFmtId="3" fontId="6" fillId="6" borderId="7" xfId="0" applyNumberFormat="1" applyFont="1" applyFill="1" applyBorder="1" applyAlignment="1">
      <alignment horizontal="center" vertical="center"/>
    </xf>
    <xf numFmtId="167" fontId="7" fillId="6" borderId="7" xfId="0" applyNumberFormat="1" applyFont="1" applyFill="1" applyBorder="1" applyAlignment="1">
      <alignment horizontal="center" vertical="center"/>
    </xf>
    <xf numFmtId="168" fontId="6" fillId="6" borderId="7" xfId="0" applyNumberFormat="1" applyFont="1" applyFill="1" applyBorder="1" applyAlignment="1">
      <alignment horizontal="center" vertical="center"/>
    </xf>
    <xf numFmtId="167" fontId="9" fillId="4" borderId="7" xfId="0" applyNumberFormat="1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167" fontId="9" fillId="6" borderId="7" xfId="0" applyNumberFormat="1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164" fontId="12" fillId="9" borderId="8" xfId="0" applyNumberFormat="1" applyFont="1" applyFill="1" applyBorder="1" applyAlignment="1">
      <alignment horizontal="center" vertical="center"/>
    </xf>
    <xf numFmtId="3" fontId="12" fillId="9" borderId="8" xfId="0" applyNumberFormat="1" applyFont="1" applyFill="1" applyBorder="1" applyAlignment="1">
      <alignment horizontal="center" vertical="center"/>
    </xf>
    <xf numFmtId="167" fontId="12" fillId="9" borderId="8" xfId="0" applyNumberFormat="1" applyFont="1" applyFill="1" applyBorder="1" applyAlignment="1">
      <alignment horizontal="center" vertical="center"/>
    </xf>
    <xf numFmtId="168" fontId="12" fillId="9" borderId="8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9" fontId="15" fillId="0" borderId="0" xfId="0" applyNumberFormat="1" applyFont="1" applyAlignment="1">
      <alignment horizontal="left" vertical="center"/>
    </xf>
    <xf numFmtId="9" fontId="7" fillId="0" borderId="0" xfId="0" applyNumberFormat="1" applyFont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169" fontId="6" fillId="4" borderId="7" xfId="0" applyNumberFormat="1" applyFont="1" applyFill="1" applyBorder="1" applyAlignment="1">
      <alignment horizontal="right" vertical="center"/>
    </xf>
    <xf numFmtId="164" fontId="6" fillId="4" borderId="7" xfId="0" applyNumberFormat="1" applyFont="1" applyFill="1" applyBorder="1" applyAlignment="1">
      <alignment horizontal="right" vertical="center"/>
    </xf>
    <xf numFmtId="168" fontId="6" fillId="4" borderId="7" xfId="0" applyNumberFormat="1" applyFont="1" applyFill="1" applyBorder="1" applyAlignment="1">
      <alignment horizontal="right" vertical="center"/>
    </xf>
    <xf numFmtId="170" fontId="6" fillId="4" borderId="7" xfId="0" applyNumberFormat="1" applyFont="1" applyFill="1" applyBorder="1" applyAlignment="1">
      <alignment horizontal="right" vertical="center"/>
    </xf>
    <xf numFmtId="0" fontId="6" fillId="6" borderId="7" xfId="0" applyFont="1" applyFill="1" applyBorder="1" applyAlignment="1">
      <alignment horizontal="left" vertical="center"/>
    </xf>
    <xf numFmtId="169" fontId="6" fillId="6" borderId="7" xfId="0" applyNumberFormat="1" applyFont="1" applyFill="1" applyBorder="1" applyAlignment="1">
      <alignment horizontal="right" vertical="center"/>
    </xf>
    <xf numFmtId="164" fontId="6" fillId="6" borderId="7" xfId="0" applyNumberFormat="1" applyFont="1" applyFill="1" applyBorder="1" applyAlignment="1">
      <alignment horizontal="right" vertical="center"/>
    </xf>
    <xf numFmtId="168" fontId="6" fillId="6" borderId="7" xfId="0" applyNumberFormat="1" applyFont="1" applyFill="1" applyBorder="1" applyAlignment="1">
      <alignment horizontal="right" vertical="center"/>
    </xf>
    <xf numFmtId="170" fontId="6" fillId="6" borderId="7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64" fontId="18" fillId="9" borderId="10" xfId="0" applyNumberFormat="1" applyFont="1" applyFill="1" applyBorder="1" applyAlignment="1">
      <alignment horizontal="right" vertical="center"/>
    </xf>
    <xf numFmtId="168" fontId="18" fillId="9" borderId="10" xfId="0" applyNumberFormat="1" applyFont="1" applyFill="1" applyBorder="1" applyAlignment="1">
      <alignment horizontal="right" vertical="center"/>
    </xf>
    <xf numFmtId="170" fontId="18" fillId="9" borderId="10" xfId="0" applyNumberFormat="1" applyFont="1" applyFill="1" applyBorder="1" applyAlignment="1">
      <alignment horizontal="right" vertical="center"/>
    </xf>
    <xf numFmtId="0" fontId="12" fillId="0" borderId="0" xfId="0" applyFont="1"/>
    <xf numFmtId="164" fontId="7" fillId="0" borderId="0" xfId="0" applyNumberFormat="1" applyFont="1"/>
    <xf numFmtId="164" fontId="9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27" fillId="0" borderId="0" xfId="0" applyFont="1" applyAlignment="1">
      <alignment vertical="bottom"/>
    </xf>
    <xf numFmtId="0" fontId="28" fillId="0" borderId="0" xfId="0" applyFont="1" applyAlignment="1">
      <alignment vertical="bottom"/>
    </xf>
    <xf numFmtId="0" fontId="29" fillId="0" borderId="0" xfId="0" applyFont="1" applyAlignment="1">
      <alignment vertical="bottom"/>
    </xf>
    <xf numFmtId="0" fontId="30" fillId="0" borderId="0" xfId="0" applyFont="1" applyAlignment="1">
      <alignment vertical="bottom"/>
    </xf>
    <xf numFmtId="0" fontId="31" fillId="0" borderId="0" xfId="0" applyFont="1" applyAlignment="1">
      <alignment vertical="bottom"/>
    </xf>
    <xf numFmtId="0" fontId="32" fillId="10" borderId="7" xfId="0" applyFont="1" applyFill="1" applyBorder="1" applyAlignment="1">
      <alignment horizontal="center" vertical="center"/>
    </xf>
    <xf numFmtId="0" fontId="32" fillId="11" borderId="7" xfId="0" applyFont="1" applyFill="1" applyBorder="1" applyAlignment="1">
      <alignment horizontal="center" vertical="center"/>
    </xf>
    <xf numFmtId="0" fontId="32" fillId="12" borderId="7" xfId="0" applyFont="1" applyFill="1" applyBorder="1" applyAlignment="1">
      <alignment horizontal="center" vertical="center"/>
    </xf>
    <xf numFmtId="0" fontId="26" fillId="13" borderId="7" xfId="0" applyFont="1" applyFill="1" applyBorder="1" applyAlignment="1">
      <alignment horizontal="center" vertical="center"/>
    </xf>
    <xf numFmtId="0" fontId="26" fillId="14" borderId="7" xfId="0" applyFont="1" applyFill="1" applyBorder="1" applyAlignment="1">
      <alignment horizontal="center" vertical="center"/>
    </xf>
    <xf numFmtId="0" fontId="26" fillId="15" borderId="7" xfId="0" applyFont="1" applyFill="1" applyBorder="1" applyAlignment="1">
      <alignment horizontal="center" vertical="center"/>
    </xf>
    <xf numFmtId="0" fontId="26" fillId="16" borderId="7" xfId="0" applyFont="1" applyFill="1" applyBorder="1" applyAlignment="1">
      <alignment horizontal="center" vertical="center"/>
    </xf>
    <xf numFmtId="0" fontId="32" fillId="17" borderId="7" xfId="0" applyFont="1" applyFill="1" applyBorder="1" applyAlignment="1">
      <alignment horizontal="center" vertical="center"/>
    </xf>
    <xf numFmtId="0" fontId="32" fillId="18" borderId="7" xfId="0" applyFont="1" applyFill="1" applyBorder="1" applyAlignment="1">
      <alignment horizontal="center" vertical="center"/>
    </xf>
    <xf numFmtId="0" fontId="32" fillId="19" borderId="7" xfId="0" applyFont="1" applyFill="1" applyBorder="1" applyAlignment="1">
      <alignment horizontal="center" vertical="center"/>
    </xf>
    <xf numFmtId="0" fontId="26" fillId="20" borderId="7" xfId="0" applyFont="1" applyFill="1" applyBorder="1" applyAlignment="1">
      <alignment horizontal="center" vertical="center"/>
    </xf>
    <xf numFmtId="0" fontId="26" fillId="21" borderId="7" xfId="0" applyFont="1" applyFill="1" applyBorder="1" applyAlignment="1">
      <alignment horizontal="center" vertical="center"/>
    </xf>
    <xf numFmtId="0" fontId="26" fillId="22" borderId="7" xfId="0" applyFont="1" applyFill="1" applyBorder="1" applyAlignment="1">
      <alignment horizontal="center" vertical="center"/>
    </xf>
    <xf numFmtId="0" fontId="26" fillId="5" borderId="7" xfId="0" applyFont="1" applyFill="1" applyBorder="1" applyAlignment="1">
      <alignment horizontal="center" vertical="center"/>
    </xf>
    <xf numFmtId="0" fontId="32" fillId="23" borderId="7" xfId="0" applyFont="1" applyFill="1" applyBorder="1" applyAlignment="1">
      <alignment horizontal="center" vertical="center"/>
    </xf>
    <xf numFmtId="0" fontId="32" fillId="24" borderId="7" xfId="0" applyFont="1" applyFill="1" applyBorder="1" applyAlignment="1">
      <alignment horizontal="center" vertical="center"/>
    </xf>
    <xf numFmtId="0" fontId="32" fillId="25" borderId="7" xfId="0" applyFont="1" applyFill="1" applyBorder="1" applyAlignment="1">
      <alignment horizontal="center" vertical="center"/>
    </xf>
    <xf numFmtId="0" fontId="26" fillId="26" borderId="7" xfId="0" applyFont="1" applyFill="1" applyBorder="1" applyAlignment="1">
      <alignment horizontal="center" vertical="center"/>
    </xf>
    <xf numFmtId="0" fontId="26" fillId="27" borderId="7" xfId="0" applyFont="1" applyFill="1" applyBorder="1" applyAlignment="1">
      <alignment horizontal="center" vertical="center"/>
    </xf>
    <xf numFmtId="0" fontId="26" fillId="9" borderId="7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32" fillId="28" borderId="7" xfId="0" applyFont="1" applyFill="1" applyBorder="1" applyAlignment="1">
      <alignment horizontal="center" vertical="center"/>
    </xf>
    <xf numFmtId="0" fontId="32" fillId="29" borderId="7" xfId="0" applyFont="1" applyFill="1" applyBorder="1" applyAlignment="1">
      <alignment horizontal="center" vertical="center"/>
    </xf>
    <xf numFmtId="0" fontId="32" fillId="30" borderId="7" xfId="0" applyFont="1" applyFill="1" applyBorder="1" applyAlignment="1">
      <alignment horizontal="center" vertical="center"/>
    </xf>
    <xf numFmtId="0" fontId="26" fillId="31" borderId="7" xfId="0" applyFont="1" applyFill="1" applyBorder="1" applyAlignment="1">
      <alignment horizontal="center" vertical="center"/>
    </xf>
    <xf numFmtId="0" fontId="26" fillId="32" borderId="7" xfId="0" applyFont="1" applyFill="1" applyBorder="1" applyAlignment="1">
      <alignment horizontal="center" vertical="center"/>
    </xf>
    <xf numFmtId="0" fontId="26" fillId="33" borderId="7" xfId="0" applyFont="1" applyFill="1" applyBorder="1" applyAlignment="1">
      <alignment horizontal="center" vertical="center"/>
    </xf>
    <xf numFmtId="0" fontId="26" fillId="8" borderId="7" xfId="0" applyFont="1" applyFill="1" applyBorder="1" applyAlignment="1">
      <alignment horizontal="center" vertical="center"/>
    </xf>
    <xf numFmtId="0" fontId="32" fillId="34" borderId="7" xfId="0" applyFont="1" applyFill="1" applyBorder="1" applyAlignment="1">
      <alignment horizontal="center" vertical="center"/>
    </xf>
    <xf numFmtId="0" fontId="32" fillId="35" borderId="7" xfId="0" applyFont="1" applyFill="1" applyBorder="1" applyAlignment="1">
      <alignment horizontal="center" vertical="center"/>
    </xf>
    <xf numFmtId="0" fontId="32" fillId="36" borderId="7" xfId="0" applyFont="1" applyFill="1" applyBorder="1" applyAlignment="1">
      <alignment horizontal="center" vertical="center"/>
    </xf>
    <xf numFmtId="0" fontId="26" fillId="37" borderId="7" xfId="0" applyFont="1" applyFill="1" applyBorder="1" applyAlignment="1">
      <alignment horizontal="center" vertical="center"/>
    </xf>
    <xf numFmtId="0" fontId="26" fillId="38" borderId="7" xfId="0" applyFont="1" applyFill="1" applyBorder="1" applyAlignment="1">
      <alignment horizontal="center" vertical="center"/>
    </xf>
    <xf numFmtId="0" fontId="26" fillId="39" borderId="7" xfId="0" applyFont="1" applyFill="1" applyBorder="1" applyAlignment="1">
      <alignment horizontal="center" vertical="center"/>
    </xf>
    <xf numFmtId="0" fontId="26" fillId="40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34" fillId="2" borderId="7" xfId="0" applyFont="1" applyFill="1" applyBorder="1" applyAlignment="1">
      <alignment horizontal="left" vertical="top"/>
    </xf>
    <xf numFmtId="0" fontId="34" fillId="2" borderId="7" xfId="0" applyFont="1" applyFill="1" applyBorder="1" applyAlignment="1">
      <alignment horizontal="center" vertical="top"/>
    </xf>
    <xf numFmtId="0" fontId="34" fillId="2" borderId="7" xfId="0" applyFont="1" applyFill="1" applyBorder="1" applyAlignment="1">
      <alignment horizontal="right" vertical="top"/>
    </xf>
    <xf numFmtId="0" fontId="34" fillId="2" borderId="7" xfId="0" applyFont="1" applyFill="1" applyBorder="1" applyAlignment="1">
      <alignment horizontal="left" vertical="center"/>
    </xf>
    <xf numFmtId="0" fontId="34" fillId="2" borderId="7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right" vertical="center"/>
    </xf>
    <xf numFmtId="0" fontId="34" fillId="2" borderId="7" xfId="0" applyFont="1" applyFill="1" applyBorder="1" applyAlignment="1">
      <alignment horizontal="left" vertical="bottom"/>
    </xf>
    <xf numFmtId="0" fontId="34" fillId="2" borderId="7" xfId="0" applyFont="1" applyFill="1" applyBorder="1" applyAlignment="1">
      <alignment horizontal="center" vertical="bottom"/>
    </xf>
    <xf numFmtId="0" fontId="34" fillId="2" borderId="7" xfId="0" applyFont="1" applyFill="1" applyBorder="1" applyAlignment="1">
      <alignment horizontal="right" vertical="bottom"/>
    </xf>
    <xf numFmtId="0" fontId="6" fillId="2" borderId="7" xfId="0" applyFont="1" applyFill="1" applyBorder="1" applyAlignment="1">
      <alignment vertical="top" wrapText="1"/>
    </xf>
    <xf numFmtId="0" fontId="35" fillId="9" borderId="16" xfId="0" applyFont="1" applyFill="1" applyBorder="1" applyAlignment="1">
      <alignment horizontal="center" vertical="center"/>
    </xf>
    <xf numFmtId="0" fontId="36" fillId="16" borderId="17" xfId="0" applyFont="1" applyFill="1" applyBorder="1" applyAlignment="1">
      <alignment horizontal="center" vertical="center"/>
    </xf>
    <xf numFmtId="0" fontId="14" fillId="0" borderId="9" xfId="0" applyFont="1" applyBorder="1"/>
    <xf numFmtId="0" fontId="6" fillId="0" borderId="0" xfId="0" applyFont="1"/>
    <xf numFmtId="171" fontId="12" fillId="0" borderId="0" xfId="0" applyNumberFormat="1" applyFont="1" applyAlignment="1">
      <alignment horizontal="right"/>
    </xf>
    <xf numFmtId="0" fontId="37" fillId="0" borderId="0" xfId="0" applyFont="1"/>
    <xf numFmtId="172" fontId="12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right"/>
    </xf>
    <xf numFmtId="11" fontId="12" fillId="0" borderId="0" xfId="0" applyNumberFormat="1" applyFont="1" applyAlignment="1">
      <alignment horizontal="right"/>
    </xf>
    <xf numFmtId="12" fontId="12" fillId="0" borderId="0" xfId="0" applyNumberFormat="1" applyFont="1" applyAlignment="1">
      <alignment horizontal="right"/>
    </xf>
    <xf numFmtId="173" fontId="12" fillId="0" borderId="0" xfId="0" applyNumberFormat="1" applyFont="1" applyAlignment="1">
      <alignment horizontal="right"/>
    </xf>
    <xf numFmtId="174" fontId="12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ont>
        <color rgb="16A34A"/>
      </font>
      <fill>
        <patternFill patternType="solid">
          <bgColor rgb="DCFCE7"/>
        </patternFill>
      </fill>
    </dxf>
    <dxf>
      <font>
        <color rgb="DC2626"/>
      </font>
      <fill>
        <patternFill patternType="solid">
          <bgColor rgb="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showGridLines="0"/>
  </sheetViews>
  <sheetFormatPr defaultRowHeight="20" outlineLevelRow="0" outlineLevelCol="0" x14ac:dyDescent="55" defaultColWidth="14" customHeight="1"/>
  <cols>
    <col min="1" max="1" width="3" customWidth="1"/>
    <col min="2" max="2" width="18" customWidth="1"/>
    <col min="3" max="8" width="16" customWidth="1"/>
    <col min="9" max="9" width="3" customWidth="1"/>
  </cols>
  <sheetData>
    <row r="1" ht="40" customHeight="1" spans="2:8" x14ac:dyDescent="0.25">
      <c r="B1" s="1" t="s">
        <v>0</v>
      </c>
      <c r="C1" s="1"/>
      <c r="D1" s="1"/>
      <c r="E1" s="1"/>
      <c r="F1" s="1"/>
      <c r="G1" s="1"/>
      <c r="H1" s="1"/>
    </row>
    <row r="2" ht="22" customHeight="1" spans="2:8" x14ac:dyDescent="0.25">
      <c r="B2" s="2" t="s">
        <v>1</v>
      </c>
      <c r="C2" s="2"/>
      <c r="D2" s="2"/>
      <c r="E2" s="2"/>
      <c r="F2" s="2"/>
      <c r="G2" s="2"/>
      <c r="H2" s="2"/>
    </row>
    <row r="3" ht="8" customHeight="1" x14ac:dyDescent="0.25"/>
    <row r="4" ht="24" customHeight="1" spans="2:8" x14ac:dyDescent="0.25">
      <c r="B4" s="3" t="s">
        <v>2</v>
      </c>
      <c r="D4" s="4" t="s">
        <v>3</v>
      </c>
      <c r="F4" s="5" t="s">
        <v>4</v>
      </c>
      <c r="H4" s="6" t="s">
        <v>5</v>
      </c>
    </row>
    <row r="5" ht="38" customHeight="1" spans="2:8" x14ac:dyDescent="0.25">
      <c r="B5" s="7">
        <v>2400000</v>
      </c>
      <c r="D5" s="8">
        <v>156000</v>
      </c>
      <c r="F5" s="9">
        <v>0.24</v>
      </c>
      <c r="H5" s="10">
        <v>4.8</v>
      </c>
    </row>
    <row r="6" ht="8" customHeight="1" x14ac:dyDescent="0.25"/>
    <row r="7" ht="28" customHeight="1" spans="1:8" x14ac:dyDescent="0.25">
      <c r="A7" t="s">
        <v>6</v>
      </c>
      <c r="B7" s="11" t="s">
        <v>7</v>
      </c>
      <c r="C7" s="11" t="s">
        <v>2</v>
      </c>
      <c r="D7" s="11" t="s">
        <v>8</v>
      </c>
      <c r="E7" s="11" t="s">
        <v>4</v>
      </c>
      <c r="F7" s="11" t="s">
        <v>9</v>
      </c>
      <c r="G7" s="11" t="s">
        <v>10</v>
      </c>
      <c r="H7" s="11" t="s">
        <v>11</v>
      </c>
    </row>
    <row r="8" ht="26" customHeight="1" spans="1:8" x14ac:dyDescent="0.25">
      <c r="A8" t="s">
        <v>6</v>
      </c>
      <c r="B8" s="12" t="s">
        <v>12</v>
      </c>
      <c r="C8" s="13">
        <v>1850000</v>
      </c>
      <c r="D8" s="14">
        <v>128000</v>
      </c>
      <c r="E8" s="15">
        <v>0.12</v>
      </c>
      <c r="F8" s="13">
        <v>154000</v>
      </c>
      <c r="G8" s="16">
        <v>0.021</v>
      </c>
      <c r="H8" s="17" t="s">
        <v>13</v>
      </c>
    </row>
    <row r="9" ht="26" customHeight="1" spans="1:8" x14ac:dyDescent="0.25">
      <c r="A9" t="s">
        <v>6</v>
      </c>
      <c r="B9" s="18" t="s">
        <v>14</v>
      </c>
      <c r="C9" s="19">
        <v>1920000</v>
      </c>
      <c r="D9" s="20">
        <v>132000</v>
      </c>
      <c r="E9" s="21">
        <v>0.15</v>
      </c>
      <c r="F9" s="19">
        <v>160000</v>
      </c>
      <c r="G9" s="22">
        <v>0.019</v>
      </c>
      <c r="H9" s="17" t="s">
        <v>13</v>
      </c>
    </row>
    <row r="10" ht="26" customHeight="1" spans="1:8" x14ac:dyDescent="0.25">
      <c r="A10" t="s">
        <v>6</v>
      </c>
      <c r="B10" s="12" t="s">
        <v>15</v>
      </c>
      <c r="C10" s="13">
        <v>1780000</v>
      </c>
      <c r="D10" s="14">
        <v>129000</v>
      </c>
      <c r="E10" s="23">
        <v>-0.07</v>
      </c>
      <c r="F10" s="13">
        <v>148000</v>
      </c>
      <c r="G10" s="16">
        <v>0.028</v>
      </c>
      <c r="H10" s="24" t="s">
        <v>16</v>
      </c>
    </row>
    <row r="11" ht="26" customHeight="1" spans="1:8" x14ac:dyDescent="0.25">
      <c r="A11" t="s">
        <v>6</v>
      </c>
      <c r="B11" s="18" t="s">
        <v>17</v>
      </c>
      <c r="C11" s="19">
        <v>2050000</v>
      </c>
      <c r="D11" s="20">
        <v>138000</v>
      </c>
      <c r="E11" s="21">
        <v>0.15</v>
      </c>
      <c r="F11" s="19">
        <v>171000</v>
      </c>
      <c r="G11" s="22">
        <v>0.017</v>
      </c>
      <c r="H11" s="17" t="s">
        <v>13</v>
      </c>
    </row>
    <row r="12" ht="26" customHeight="1" spans="1:8" x14ac:dyDescent="0.25">
      <c r="A12" t="s">
        <v>6</v>
      </c>
      <c r="B12" s="12" t="s">
        <v>18</v>
      </c>
      <c r="C12" s="13">
        <v>2180000</v>
      </c>
      <c r="D12" s="14">
        <v>142000</v>
      </c>
      <c r="E12" s="15">
        <v>0.06</v>
      </c>
      <c r="F12" s="13">
        <v>182000</v>
      </c>
      <c r="G12" s="16">
        <v>0.015</v>
      </c>
      <c r="H12" s="17" t="s">
        <v>13</v>
      </c>
    </row>
    <row r="13" ht="26" customHeight="1" spans="1:8" x14ac:dyDescent="0.25">
      <c r="A13" t="s">
        <v>6</v>
      </c>
      <c r="B13" s="18" t="s">
        <v>19</v>
      </c>
      <c r="C13" s="19">
        <v>1950000</v>
      </c>
      <c r="D13" s="20">
        <v>135000</v>
      </c>
      <c r="E13" s="25">
        <v>-0.11</v>
      </c>
      <c r="F13" s="19">
        <v>163000</v>
      </c>
      <c r="G13" s="22">
        <v>0.032</v>
      </c>
      <c r="H13" s="26" t="s">
        <v>20</v>
      </c>
    </row>
    <row r="14" ht="26" customHeight="1" spans="1:8" x14ac:dyDescent="0.25">
      <c r="A14" t="s">
        <v>6</v>
      </c>
      <c r="B14" s="12" t="s">
        <v>21</v>
      </c>
      <c r="C14" s="13">
        <v>2240000</v>
      </c>
      <c r="D14" s="14">
        <v>148000</v>
      </c>
      <c r="E14" s="15">
        <v>0.15</v>
      </c>
      <c r="F14" s="13">
        <v>187000</v>
      </c>
      <c r="G14" s="16">
        <v>0.014</v>
      </c>
      <c r="H14" s="17" t="s">
        <v>13</v>
      </c>
    </row>
    <row r="15" ht="26" customHeight="1" spans="1:8" x14ac:dyDescent="0.25">
      <c r="A15" t="s">
        <v>6</v>
      </c>
      <c r="B15" s="18" t="s">
        <v>22</v>
      </c>
      <c r="C15" s="19">
        <v>2350000</v>
      </c>
      <c r="D15" s="20">
        <v>151000</v>
      </c>
      <c r="E15" s="21">
        <v>0.05</v>
      </c>
      <c r="F15" s="19">
        <v>196000</v>
      </c>
      <c r="G15" s="22">
        <v>0.016</v>
      </c>
      <c r="H15" s="17" t="s">
        <v>13</v>
      </c>
    </row>
    <row r="16" ht="26" customHeight="1" spans="1:8" x14ac:dyDescent="0.25">
      <c r="A16" t="s">
        <v>6</v>
      </c>
      <c r="B16" s="12" t="s">
        <v>23</v>
      </c>
      <c r="C16" s="13">
        <v>2280000</v>
      </c>
      <c r="D16" s="14">
        <v>149000</v>
      </c>
      <c r="E16" s="23">
        <v>-0.03</v>
      </c>
      <c r="F16" s="13">
        <v>190000</v>
      </c>
      <c r="G16" s="16">
        <v>0.022</v>
      </c>
      <c r="H16" s="24" t="s">
        <v>16</v>
      </c>
    </row>
    <row r="17" ht="26" customHeight="1" spans="1:8" x14ac:dyDescent="0.25">
      <c r="A17" t="s">
        <v>6</v>
      </c>
      <c r="B17" s="18" t="s">
        <v>24</v>
      </c>
      <c r="C17" s="19">
        <v>2400000</v>
      </c>
      <c r="D17" s="20">
        <v>156000</v>
      </c>
      <c r="E17" s="21">
        <v>0.24</v>
      </c>
      <c r="F17" s="19">
        <v>200000</v>
      </c>
      <c r="G17" s="22">
        <v>0.012</v>
      </c>
      <c r="H17" s="17" t="s">
        <v>13</v>
      </c>
    </row>
    <row r="18" ht="28" customHeight="1" spans="2:8" x14ac:dyDescent="0.25">
      <c r="B18" s="27" t="s">
        <v>25</v>
      </c>
      <c r="C18" s="28">
        <f>SUM(C8:C17)</f>
      </c>
      <c r="D18" s="29">
        <f>AVERAGE(D8:D17)</f>
      </c>
      <c r="E18" s="30">
        <f>AVERAGE(E8:E17)</f>
      </c>
      <c r="F18" s="28">
        <f>SUM(F8:F17)</f>
      </c>
      <c r="G18" s="31">
        <f>AVERAGE(G8:G17)</f>
      </c>
      <c r="H18" s="27" t="s">
        <v>6</v>
      </c>
    </row>
    <row r="19" ht="8" customHeight="1" x14ac:dyDescent="0.25"/>
    <row r="20" ht="30" customHeight="1" spans="2:8" x14ac:dyDescent="0.25">
      <c r="B20" s="32" t="s">
        <v>26</v>
      </c>
      <c r="C20" s="32"/>
      <c r="D20" s="32"/>
      <c r="E20" s="32"/>
      <c r="F20" s="32"/>
      <c r="G20" s="32"/>
      <c r="H20" s="32"/>
    </row>
    <row r="21" ht="24" customHeight="1" spans="1:8" x14ac:dyDescent="0.25">
      <c r="A21" t="s">
        <v>6</v>
      </c>
      <c r="B21" s="33" t="s">
        <v>27</v>
      </c>
      <c r="C21" s="33" t="s">
        <v>28</v>
      </c>
      <c r="D21" t="s">
        <v>6</v>
      </c>
      <c r="E21" t="s">
        <v>6</v>
      </c>
      <c r="F21" t="s">
        <v>6</v>
      </c>
      <c r="G21" t="s">
        <v>6</v>
      </c>
      <c r="H21" s="34" t="s">
        <v>29</v>
      </c>
    </row>
    <row r="22" ht="24" customHeight="1" spans="2:8" x14ac:dyDescent="0.25">
      <c r="B22" s="35" t="s">
        <v>30</v>
      </c>
      <c r="C22" s="36">
        <v>0.92</v>
      </c>
      <c r="D22" s="36"/>
      <c r="E22" s="36"/>
      <c r="F22" s="36"/>
      <c r="G22" s="36"/>
      <c r="H22" s="37">
        <v>0.92</v>
      </c>
    </row>
    <row r="23" ht="24" customHeight="1" spans="2:8" x14ac:dyDescent="0.25">
      <c r="B23" s="35" t="s">
        <v>31</v>
      </c>
      <c r="C23" s="36">
        <v>0.78</v>
      </c>
      <c r="D23" s="36"/>
      <c r="E23" s="36"/>
      <c r="F23" s="36"/>
      <c r="G23" s="36"/>
      <c r="H23" s="38">
        <v>0.78</v>
      </c>
    </row>
    <row r="24" ht="24" customHeight="1" spans="2:8" x14ac:dyDescent="0.25">
      <c r="B24" s="35" t="s">
        <v>32</v>
      </c>
      <c r="C24" s="36">
        <v>0.65</v>
      </c>
      <c r="D24" s="36"/>
      <c r="E24" s="36"/>
      <c r="F24" s="36"/>
      <c r="G24" s="36"/>
      <c r="H24" s="38">
        <v>0.65</v>
      </c>
    </row>
    <row r="25" ht="24" customHeight="1" spans="2:8" x14ac:dyDescent="0.25">
      <c r="B25" s="35" t="s">
        <v>33</v>
      </c>
      <c r="C25" s="36">
        <v>0.45</v>
      </c>
      <c r="D25" s="36"/>
      <c r="E25" s="36"/>
      <c r="F25" s="36"/>
      <c r="G25" s="36"/>
      <c r="H25" s="39">
        <v>0.45</v>
      </c>
    </row>
    <row r="26" ht="24" customHeight="1" spans="2:8" x14ac:dyDescent="0.25">
      <c r="B26" s="35" t="s">
        <v>34</v>
      </c>
      <c r="C26" s="36">
        <v>1</v>
      </c>
      <c r="D26" s="36"/>
      <c r="E26" s="36"/>
      <c r="F26" s="36"/>
      <c r="G26" s="36"/>
      <c r="H26" s="37">
        <v>1</v>
      </c>
    </row>
    <row r="27" ht="24" customHeight="1" spans="2:8" x14ac:dyDescent="0.25">
      <c r="B27" s="35" t="s">
        <v>35</v>
      </c>
      <c r="C27" s="36">
        <v>0.55</v>
      </c>
      <c r="D27" s="36"/>
      <c r="E27" s="36"/>
      <c r="F27" s="36"/>
      <c r="G27" s="36"/>
      <c r="H27" s="38">
        <v>0.55</v>
      </c>
    </row>
    <row r="28" ht="24" customHeight="1" spans="2:8" x14ac:dyDescent="0.25">
      <c r="B28" s="35" t="s">
        <v>36</v>
      </c>
      <c r="C28" s="36">
        <v>0.88</v>
      </c>
      <c r="D28" s="36"/>
      <c r="E28" s="36"/>
      <c r="F28" s="36"/>
      <c r="G28" s="36"/>
      <c r="H28" s="37">
        <v>0.88</v>
      </c>
    </row>
    <row r="29" ht="24" customHeight="1" spans="2:8" x14ac:dyDescent="0.25">
      <c r="B29" s="35" t="s">
        <v>37</v>
      </c>
      <c r="C29" s="36">
        <v>0.72</v>
      </c>
      <c r="D29" s="36"/>
      <c r="E29" s="36"/>
      <c r="F29" s="36"/>
      <c r="G29" s="36"/>
      <c r="H29" s="38">
        <v>0.72</v>
      </c>
    </row>
  </sheetData>
  <mergeCells count="11">
    <mergeCell ref="B1:H1"/>
    <mergeCell ref="B2:H2"/>
    <mergeCell ref="B20:H20"/>
    <mergeCell ref="C22:G22"/>
    <mergeCell ref="C23:G23"/>
    <mergeCell ref="C24:G24"/>
    <mergeCell ref="C25:G25"/>
    <mergeCell ref="C26:G26"/>
    <mergeCell ref="C27:G27"/>
    <mergeCell ref="C28:G28"/>
    <mergeCell ref="C29:G29"/>
  </mergeCells>
  <conditionalFormatting sqref="C22:G29">
    <cfRule type="dataBar" priority="1">
      <dataBar>
        <cfvo type="num" val="0"/>
        <cfvo type="num" val="1"/>
        <color rgb="C8A951"/>
      </dataBar>
      <extLst>
        <ext xmlns:x14="http://schemas.microsoft.com/office/spreadsheetml/2009/9/main" uri="{B025F937-C7B1-47D3-B67F-A62EFF666E3E}">
          <x14:id>{3658BA82-BC67-4D1A-8ACA-1DC52FA4747D}</x14:id>
        </ext>
      </extLst>
    </cfRule>
  </conditionalFormatting>
  <conditionalFormatting sqref="E8:E17">
    <cfRule type="cellIs" dxfId="0" priority="2" operator="greaterThanOrEqual">
      <formula>0</formula>
    </cfRule>
    <cfRule type="cellIs" dxfId="1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58BA82-BC67-4D1A-8ACA-1DC52FA4747D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C22:G29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5" outlineLevelRow="0" outlineLevelCol="0" x14ac:dyDescent="55"/>
  <cols>
    <col min="1" max="1" width="6" customWidth="1"/>
    <col min="2" max="2" width="20" customWidth="1"/>
    <col min="3" max="3" width="16" customWidth="1"/>
    <col min="4" max="5" width="14" customWidth="1"/>
    <col min="6" max="6" width="12" customWidth="1"/>
    <col min="7" max="7" width="14" customWidth="1"/>
    <col min="8" max="8" width="12" customWidth="1"/>
    <col min="9" max="9" width="14" customWidth="1"/>
    <col min="10" max="10" width="18" customWidth="1"/>
  </cols>
  <sheetData>
    <row r="1" ht="30" customHeight="1" spans="1:10" x14ac:dyDescent="0.25">
      <c r="A1" s="40" t="s">
        <v>38</v>
      </c>
      <c r="B1" s="40" t="s">
        <v>39</v>
      </c>
      <c r="C1" s="40" t="s">
        <v>40</v>
      </c>
      <c r="D1" s="40" t="s">
        <v>41</v>
      </c>
      <c r="E1" s="40" t="s">
        <v>42</v>
      </c>
      <c r="F1" s="40" t="s">
        <v>43</v>
      </c>
      <c r="G1" s="40" t="s">
        <v>44</v>
      </c>
      <c r="H1" s="40" t="s">
        <v>45</v>
      </c>
      <c r="I1" s="40" t="s">
        <v>46</v>
      </c>
      <c r="J1" s="40" t="s">
        <v>47</v>
      </c>
    </row>
    <row r="2" ht="24" customHeight="1" spans="1:10" x14ac:dyDescent="0.25">
      <c r="A2" s="12">
        <v>1</v>
      </c>
      <c r="B2" s="41" t="s">
        <v>48</v>
      </c>
      <c r="C2" s="12" t="s">
        <v>49</v>
      </c>
      <c r="D2" s="42">
        <v>43845.33333333333</v>
      </c>
      <c r="E2" s="43">
        <v>95000</v>
      </c>
      <c r="F2" s="44">
        <v>0.05</v>
      </c>
      <c r="G2" s="43">
        <f>E2*(1+F2)</f>
      </c>
      <c r="H2" s="45">
        <v>3.2</v>
      </c>
      <c r="I2" s="12">
        <f>IF(H2&gt;=4.5,"A",IF(H2&gt;=3.5,"B","C"))</f>
      </c>
      <c r="J2" s="43">
        <f>AVERAGEIF(C$2:C$21,C2,E$2:E$21)</f>
      </c>
    </row>
    <row r="3" ht="24" customHeight="1" spans="1:10" x14ac:dyDescent="0.25">
      <c r="A3" s="18">
        <v>2</v>
      </c>
      <c r="B3" s="46" t="s">
        <v>50</v>
      </c>
      <c r="C3" s="18" t="s">
        <v>51</v>
      </c>
      <c r="D3" s="47">
        <v>43890.33333333333</v>
      </c>
      <c r="E3" s="48">
        <v>123907</v>
      </c>
      <c r="F3" s="49">
        <v>0.08</v>
      </c>
      <c r="G3" s="48">
        <f>E3*(1+F3)</f>
      </c>
      <c r="H3" s="50">
        <v>4.1</v>
      </c>
      <c r="I3" s="18">
        <f>IF(H3&gt;=4.5,"A",IF(H3&gt;=3.5,"B","C"))</f>
      </c>
      <c r="J3" s="48">
        <f>AVERAGEIF(C$2:C$21,C3,E$2:E$21)</f>
      </c>
    </row>
    <row r="4" ht="24" customHeight="1" spans="1:10" x14ac:dyDescent="0.25">
      <c r="A4" s="12">
        <v>3</v>
      </c>
      <c r="B4" s="41" t="s">
        <v>52</v>
      </c>
      <c r="C4" s="12" t="s">
        <v>53</v>
      </c>
      <c r="D4" s="42">
        <v>43935.33333333333</v>
      </c>
      <c r="E4" s="43">
        <v>110465</v>
      </c>
      <c r="F4" s="44">
        <v>0.11</v>
      </c>
      <c r="G4" s="43">
        <f>E4*(1+F4)</f>
      </c>
      <c r="H4" s="45">
        <v>4.5</v>
      </c>
      <c r="I4" s="12">
        <f>IF(H4&gt;=4.5,"A",IF(H4&gt;=3.5,"B","C"))</f>
      </c>
      <c r="J4" s="43">
        <f>AVERAGEIF(C$2:C$21,C4,E$2:E$21)</f>
      </c>
    </row>
    <row r="5" ht="24" customHeight="1" spans="1:10" x14ac:dyDescent="0.25">
      <c r="A5" s="18">
        <v>4</v>
      </c>
      <c r="B5" s="46" t="s">
        <v>54</v>
      </c>
      <c r="C5" s="18" t="s">
        <v>55</v>
      </c>
      <c r="D5" s="47">
        <v>43980.33333333333</v>
      </c>
      <c r="E5" s="48">
        <v>74367</v>
      </c>
      <c r="F5" s="49">
        <v>0.14</v>
      </c>
      <c r="G5" s="48">
        <f>E5*(1+F5)</f>
      </c>
      <c r="H5" s="50">
        <v>3.8</v>
      </c>
      <c r="I5" s="18">
        <f>IF(H5&gt;=4.5,"A",IF(H5&gt;=3.5,"B","C"))</f>
      </c>
      <c r="J5" s="48">
        <f>AVERAGEIF(C$2:C$21,C5,E$2:E$21)</f>
      </c>
    </row>
    <row r="6" ht="24" customHeight="1" spans="1:10" x14ac:dyDescent="0.25">
      <c r="A6" s="12">
        <v>5</v>
      </c>
      <c r="B6" s="41" t="s">
        <v>56</v>
      </c>
      <c r="C6" s="12" t="s">
        <v>57</v>
      </c>
      <c r="D6" s="42">
        <v>44025.33333333333</v>
      </c>
      <c r="E6" s="43">
        <v>68496</v>
      </c>
      <c r="F6" s="44">
        <v>0.16999999999999998</v>
      </c>
      <c r="G6" s="43">
        <f>E6*(1+F6)</f>
      </c>
      <c r="H6" s="45">
        <v>4.9</v>
      </c>
      <c r="I6" s="12">
        <f>IF(H6&gt;=4.5,"A",IF(H6&gt;=3.5,"B","C"))</f>
      </c>
      <c r="J6" s="43">
        <f>AVERAGEIF(C$2:C$21,C6,E$2:E$21)</f>
      </c>
    </row>
    <row r="7" ht="24" customHeight="1" spans="1:10" x14ac:dyDescent="0.25">
      <c r="A7" s="18">
        <v>6</v>
      </c>
      <c r="B7" s="46" t="s">
        <v>58</v>
      </c>
      <c r="C7" s="18" t="s">
        <v>49</v>
      </c>
      <c r="D7" s="47">
        <v>44070.33333333333</v>
      </c>
      <c r="E7" s="48">
        <v>101454</v>
      </c>
      <c r="F7" s="49">
        <v>0.2</v>
      </c>
      <c r="G7" s="48">
        <f>E7*(1+F7)</f>
      </c>
      <c r="H7" s="50">
        <v>3.5</v>
      </c>
      <c r="I7" s="18">
        <f>IF(H7&gt;=4.5,"A",IF(H7&gt;=3.5,"B","C"))</f>
      </c>
      <c r="J7" s="48">
        <f>AVERAGEIF(C$2:C$21,C7,E$2:E$21)</f>
      </c>
    </row>
    <row r="8" ht="24" customHeight="1" spans="1:10" x14ac:dyDescent="0.25">
      <c r="A8" s="12">
        <v>7</v>
      </c>
      <c r="B8" s="41" t="s">
        <v>59</v>
      </c>
      <c r="C8" s="12" t="s">
        <v>51</v>
      </c>
      <c r="D8" s="42">
        <v>44115.33333333333</v>
      </c>
      <c r="E8" s="43">
        <v>124956</v>
      </c>
      <c r="F8" s="44">
        <v>0.22999999999999998</v>
      </c>
      <c r="G8" s="43">
        <f>E8*(1+F8)</f>
      </c>
      <c r="H8" s="45">
        <v>4.2</v>
      </c>
      <c r="I8" s="12">
        <f>IF(H8&gt;=4.5,"A",IF(H8&gt;=3.5,"B","C"))</f>
      </c>
      <c r="J8" s="43">
        <f>AVERAGEIF(C$2:C$21,C8,E$2:E$21)</f>
      </c>
    </row>
    <row r="9" ht="24" customHeight="1" spans="1:10" x14ac:dyDescent="0.25">
      <c r="A9" s="18">
        <v>8</v>
      </c>
      <c r="B9" s="46" t="s">
        <v>60</v>
      </c>
      <c r="C9" s="18" t="s">
        <v>53</v>
      </c>
      <c r="D9" s="47">
        <v>44160.33333333333</v>
      </c>
      <c r="E9" s="48">
        <v>104573</v>
      </c>
      <c r="F9" s="49">
        <v>0.05</v>
      </c>
      <c r="G9" s="48">
        <f>E9*(1+F9)</f>
      </c>
      <c r="H9" s="50">
        <v>4.7</v>
      </c>
      <c r="I9" s="18">
        <f>IF(H9&gt;=4.5,"A",IF(H9&gt;=3.5,"B","C"))</f>
      </c>
      <c r="J9" s="48">
        <f>AVERAGEIF(C$2:C$21,C9,E$2:E$21)</f>
      </c>
    </row>
    <row r="10" ht="24" customHeight="1" spans="1:10" x14ac:dyDescent="0.25">
      <c r="A10" s="12">
        <v>9</v>
      </c>
      <c r="B10" s="41" t="s">
        <v>61</v>
      </c>
      <c r="C10" s="12" t="s">
        <v>55</v>
      </c>
      <c r="D10" s="42">
        <v>44205.33333333333</v>
      </c>
      <c r="E10" s="43">
        <v>70165</v>
      </c>
      <c r="F10" s="44">
        <v>0.08</v>
      </c>
      <c r="G10" s="43">
        <f>E10*(1+F10)</f>
      </c>
      <c r="H10" s="45">
        <v>3.9</v>
      </c>
      <c r="I10" s="12">
        <f>IF(H10&gt;=4.5,"A",IF(H10&gt;=3.5,"B","C"))</f>
      </c>
      <c r="J10" s="43">
        <f>AVERAGEIF(C$2:C$21,C10,E$2:E$21)</f>
      </c>
    </row>
    <row r="11" ht="24" customHeight="1" spans="1:10" x14ac:dyDescent="0.25">
      <c r="A11" s="18">
        <v>10</v>
      </c>
      <c r="B11" s="46" t="s">
        <v>62</v>
      </c>
      <c r="C11" s="18" t="s">
        <v>57</v>
      </c>
      <c r="D11" s="47">
        <v>44250.33333333333</v>
      </c>
      <c r="E11" s="48">
        <v>72140</v>
      </c>
      <c r="F11" s="49">
        <v>0.11</v>
      </c>
      <c r="G11" s="48">
        <f>E11*(1+F11)</f>
      </c>
      <c r="H11" s="50">
        <v>4.4</v>
      </c>
      <c r="I11" s="18">
        <f>IF(H11&gt;=4.5,"A",IF(H11&gt;=3.5,"B","C"))</f>
      </c>
      <c r="J11" s="48">
        <f>AVERAGEIF(C$2:C$21,C11,E$2:E$21)</f>
      </c>
    </row>
    <row r="12" ht="24" customHeight="1" spans="1:10" x14ac:dyDescent="0.25">
      <c r="A12" s="12">
        <v>11</v>
      </c>
      <c r="B12" s="41" t="s">
        <v>63</v>
      </c>
      <c r="C12" s="12" t="s">
        <v>49</v>
      </c>
      <c r="D12" s="42">
        <v>44295.33333333333</v>
      </c>
      <c r="E12" s="43">
        <v>107605</v>
      </c>
      <c r="F12" s="44">
        <v>0.14</v>
      </c>
      <c r="G12" s="43">
        <f>E12*(1+F12)</f>
      </c>
      <c r="H12" s="45">
        <v>3.2</v>
      </c>
      <c r="I12" s="12">
        <f>IF(H12&gt;=4.5,"A",IF(H12&gt;=3.5,"B","C"))</f>
      </c>
      <c r="J12" s="43">
        <f>AVERAGEIF(C$2:C$21,C12,E$2:E$21)</f>
      </c>
    </row>
    <row r="13" ht="24" customHeight="1" spans="1:10" x14ac:dyDescent="0.25">
      <c r="A13" s="18">
        <v>12</v>
      </c>
      <c r="B13" s="46" t="s">
        <v>64</v>
      </c>
      <c r="C13" s="18" t="s">
        <v>51</v>
      </c>
      <c r="D13" s="47">
        <v>44340.33333333333</v>
      </c>
      <c r="E13" s="48">
        <v>124603</v>
      </c>
      <c r="F13" s="49">
        <v>0.16999999999999998</v>
      </c>
      <c r="G13" s="48">
        <f>E13*(1+F13)</f>
      </c>
      <c r="H13" s="50">
        <v>4.1</v>
      </c>
      <c r="I13" s="18">
        <f>IF(H13&gt;=4.5,"A",IF(H13&gt;=3.5,"B","C"))</f>
      </c>
      <c r="J13" s="48">
        <f>AVERAGEIF(C$2:C$21,C13,E$2:E$21)</f>
      </c>
    </row>
    <row r="14" ht="24" customHeight="1" spans="1:10" x14ac:dyDescent="0.25">
      <c r="A14" s="12">
        <v>13</v>
      </c>
      <c r="B14" s="41" t="s">
        <v>65</v>
      </c>
      <c r="C14" s="12" t="s">
        <v>53</v>
      </c>
      <c r="D14" s="42">
        <v>44385.33333333333</v>
      </c>
      <c r="E14" s="43">
        <v>98233</v>
      </c>
      <c r="F14" s="44">
        <v>0.2</v>
      </c>
      <c r="G14" s="43">
        <f>E14*(1+F14)</f>
      </c>
      <c r="H14" s="45">
        <v>4.5</v>
      </c>
      <c r="I14" s="12">
        <f>IF(H14&gt;=4.5,"A",IF(H14&gt;=3.5,"B","C"))</f>
      </c>
      <c r="J14" s="43">
        <f>AVERAGEIF(C$2:C$21,C14,E$2:E$21)</f>
      </c>
    </row>
    <row r="15" ht="24" customHeight="1" spans="1:10" x14ac:dyDescent="0.25">
      <c r="A15" s="18">
        <v>14</v>
      </c>
      <c r="B15" s="46" t="s">
        <v>66</v>
      </c>
      <c r="C15" s="18" t="s">
        <v>55</v>
      </c>
      <c r="D15" s="47">
        <v>44430.33333333333</v>
      </c>
      <c r="E15" s="48">
        <v>67126</v>
      </c>
      <c r="F15" s="49">
        <v>0.22999999999999998</v>
      </c>
      <c r="G15" s="48">
        <f>E15*(1+F15)</f>
      </c>
      <c r="H15" s="50">
        <v>3.8</v>
      </c>
      <c r="I15" s="18">
        <f>IF(H15&gt;=4.5,"A",IF(H15&gt;=3.5,"B","C"))</f>
      </c>
      <c r="J15" s="48">
        <f>AVERAGEIF(C$2:C$21,C15,E$2:E$21)</f>
      </c>
    </row>
    <row r="16" ht="24" customHeight="1" spans="1:10" x14ac:dyDescent="0.25">
      <c r="A16" s="12">
        <v>15</v>
      </c>
      <c r="B16" s="41" t="s">
        <v>67</v>
      </c>
      <c r="C16" s="12" t="s">
        <v>57</v>
      </c>
      <c r="D16" s="42">
        <v>44475.33333333333</v>
      </c>
      <c r="E16" s="43">
        <v>76855</v>
      </c>
      <c r="F16" s="44">
        <v>0.05</v>
      </c>
      <c r="G16" s="43">
        <f>E16*(1+F16)</f>
      </c>
      <c r="H16" s="45">
        <v>4.9</v>
      </c>
      <c r="I16" s="12">
        <f>IF(H16&gt;=4.5,"A",IF(H16&gt;=3.5,"B","C"))</f>
      </c>
      <c r="J16" s="43">
        <f>AVERAGEIF(C$2:C$21,C16,E$2:E$21)</f>
      </c>
    </row>
    <row r="17" ht="24" customHeight="1" spans="1:10" x14ac:dyDescent="0.25">
      <c r="A17" s="18">
        <v>16</v>
      </c>
      <c r="B17" s="46" t="s">
        <v>68</v>
      </c>
      <c r="C17" s="18" t="s">
        <v>49</v>
      </c>
      <c r="D17" s="47">
        <v>44520.33333333333</v>
      </c>
      <c r="E17" s="48">
        <v>113166</v>
      </c>
      <c r="F17" s="49">
        <v>0.08</v>
      </c>
      <c r="G17" s="48">
        <f>E17*(1+F17)</f>
      </c>
      <c r="H17" s="50">
        <v>3.5</v>
      </c>
      <c r="I17" s="18">
        <f>IF(H17&gt;=4.5,"A",IF(H17&gt;=3.5,"B","C"))</f>
      </c>
      <c r="J17" s="48">
        <f>AVERAGEIF(C$2:C$21,C17,E$2:E$21)</f>
      </c>
    </row>
    <row r="18" ht="24" customHeight="1" spans="1:10" x14ac:dyDescent="0.25">
      <c r="A18" s="12">
        <v>17</v>
      </c>
      <c r="B18" s="41" t="s">
        <v>69</v>
      </c>
      <c r="C18" s="12" t="s">
        <v>51</v>
      </c>
      <c r="D18" s="42">
        <v>44565.33333333333</v>
      </c>
      <c r="E18" s="43">
        <v>122864</v>
      </c>
      <c r="F18" s="44">
        <v>0.11</v>
      </c>
      <c r="G18" s="43">
        <f>E18*(1+F18)</f>
      </c>
      <c r="H18" s="45">
        <v>4.2</v>
      </c>
      <c r="I18" s="12">
        <f>IF(H18&gt;=4.5,"A",IF(H18&gt;=3.5,"B","C"))</f>
      </c>
      <c r="J18" s="43">
        <f>AVERAGEIF(C$2:C$21,C18,E$2:E$21)</f>
      </c>
    </row>
    <row r="19" ht="24" customHeight="1" spans="1:10" x14ac:dyDescent="0.25">
      <c r="A19" s="18">
        <v>18</v>
      </c>
      <c r="B19" s="46" t="s">
        <v>70</v>
      </c>
      <c r="C19" s="18" t="s">
        <v>53</v>
      </c>
      <c r="D19" s="47">
        <v>44610.33333333333</v>
      </c>
      <c r="E19" s="48">
        <v>91741</v>
      </c>
      <c r="F19" s="49">
        <v>0.14</v>
      </c>
      <c r="G19" s="48">
        <f>E19*(1+F19)</f>
      </c>
      <c r="H19" s="50">
        <v>4.7</v>
      </c>
      <c r="I19" s="18">
        <f>IF(H19&gt;=4.5,"A",IF(H19&gt;=3.5,"B","C"))</f>
      </c>
      <c r="J19" s="48">
        <f>AVERAGEIF(C$2:C$21,C19,E$2:E$21)</f>
      </c>
    </row>
    <row r="20" ht="24" customHeight="1" spans="1:10" x14ac:dyDescent="0.25">
      <c r="A20" s="12">
        <v>19</v>
      </c>
      <c r="B20" s="41" t="s">
        <v>71</v>
      </c>
      <c r="C20" s="12" t="s">
        <v>55</v>
      </c>
      <c r="D20" s="42">
        <v>44655.33333333333</v>
      </c>
      <c r="E20" s="43">
        <v>65393</v>
      </c>
      <c r="F20" s="44">
        <v>0.16999999999999998</v>
      </c>
      <c r="G20" s="43">
        <f>E20*(1+F20)</f>
      </c>
      <c r="H20" s="45">
        <v>3.9</v>
      </c>
      <c r="I20" s="12">
        <f>IF(H20&gt;=4.5,"A",IF(H20&gt;=3.5,"B","C"))</f>
      </c>
      <c r="J20" s="43">
        <f>AVERAGEIF(C$2:C$21,C20,E$2:E$21)</f>
      </c>
    </row>
    <row r="21" ht="24" customHeight="1" spans="1:10" x14ac:dyDescent="0.25">
      <c r="A21" s="18">
        <v>20</v>
      </c>
      <c r="B21" s="46" t="s">
        <v>72</v>
      </c>
      <c r="C21" s="18" t="s">
        <v>57</v>
      </c>
      <c r="D21" s="47">
        <v>44700.33333333333</v>
      </c>
      <c r="E21" s="48">
        <v>82419</v>
      </c>
      <c r="F21" s="49">
        <v>0.2</v>
      </c>
      <c r="G21" s="48">
        <f>E21*(1+F21)</f>
      </c>
      <c r="H21" s="50">
        <v>4.4</v>
      </c>
      <c r="I21" s="18">
        <f>IF(H21&gt;=4.5,"A",IF(H21&gt;=3.5,"B","C"))</f>
      </c>
      <c r="J21" s="48">
        <f>AVERAGEIF(C$2:C$21,C21,E$2:E$21)</f>
      </c>
    </row>
    <row r="22" ht="6" customHeight="1" x14ac:dyDescent="0.25"/>
    <row r="23" spans="1:10" x14ac:dyDescent="0.25">
      <c r="A23" t="s">
        <v>6</v>
      </c>
      <c r="B23" t="s">
        <v>6</v>
      </c>
      <c r="C23" t="s">
        <v>6</v>
      </c>
      <c r="D23" s="51" t="s">
        <v>73</v>
      </c>
      <c r="E23" s="52">
        <f>AVERAGE(E2:E21)</f>
      </c>
      <c r="F23" s="53">
        <f>AVERAGE(F2:F21)</f>
      </c>
      <c r="G23" s="52">
        <f>SUM(G2:G21)</f>
      </c>
      <c r="H23" s="54">
        <f>AVERAGE(H2:H21)</f>
      </c>
      <c r="I23" t="s">
        <v>6</v>
      </c>
      <c r="J23" t="s">
        <v>6</v>
      </c>
    </row>
    <row r="24" spans="4:5" x14ac:dyDescent="0.25">
      <c r="D24" s="51" t="s">
        <v>74</v>
      </c>
      <c r="E24" s="55">
        <f>COUNTA(B2:B21)</f>
      </c>
    </row>
    <row r="25" spans="4:5" x14ac:dyDescent="0.25">
      <c r="D25" s="51" t="s">
        <v>75</v>
      </c>
      <c r="E25" s="56">
        <f>MAX(E2:E21)</f>
      </c>
    </row>
    <row r="26" spans="4:5" x14ac:dyDescent="0.25">
      <c r="D26" s="51" t="s">
        <v>76</v>
      </c>
      <c r="E26" s="57">
        <f>MIN(E2:E21)</f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6"/>
  <sheetViews>
    <sheetView workbookViewId="0" showGridLines="0"/>
  </sheetViews>
  <sheetFormatPr defaultRowHeight="15" outlineLevelRow="0" outlineLevelCol="0" x14ac:dyDescent="55"/>
  <cols>
    <col min="1" max="1" width="3" customWidth="1"/>
    <col min="2" max="8" width="18" customWidth="1"/>
    <col min="9" max="9" width="3" customWidth="1"/>
  </cols>
  <sheetData>
    <row r="1" ht="32" customHeight="1" spans="2:8" x14ac:dyDescent="0.25">
      <c r="B1" s="58" t="s">
        <v>77</v>
      </c>
      <c r="C1" s="58"/>
      <c r="D1" s="58"/>
      <c r="E1" s="58"/>
      <c r="F1" s="58"/>
      <c r="G1" s="58"/>
      <c r="H1" s="58"/>
    </row>
    <row r="2" ht="28" customHeight="1" spans="2:4" x14ac:dyDescent="0.25">
      <c r="B2" s="59" t="s">
        <v>78</v>
      </c>
      <c r="C2" s="60" t="s">
        <v>79</v>
      </c>
      <c r="D2" s="61" t="s">
        <v>80</v>
      </c>
    </row>
    <row r="3" ht="28" customHeight="1" spans="2:4" x14ac:dyDescent="0.25">
      <c r="B3" s="62" t="s">
        <v>81</v>
      </c>
      <c r="C3" s="63" t="s">
        <v>82</v>
      </c>
      <c r="D3" s="64" t="s">
        <v>83</v>
      </c>
    </row>
    <row r="4" ht="8" customHeight="1" x14ac:dyDescent="0.25"/>
    <row r="5" ht="32" customHeight="1" spans="2:8" x14ac:dyDescent="0.25">
      <c r="B5" s="58" t="s">
        <v>84</v>
      </c>
      <c r="C5" s="58"/>
      <c r="D5" s="58"/>
      <c r="E5" s="58"/>
      <c r="F5" s="58"/>
      <c r="G5" s="58"/>
      <c r="H5" s="58"/>
    </row>
    <row r="6" ht="40" customHeight="1" spans="2:8" x14ac:dyDescent="0.25">
      <c r="B6" s="65" t="s">
        <v>85</v>
      </c>
      <c r="C6" s="66" t="s">
        <v>86</v>
      </c>
      <c r="D6" s="67" t="s">
        <v>87</v>
      </c>
      <c r="E6" s="68" t="s">
        <v>88</v>
      </c>
      <c r="F6" s="69" t="s">
        <v>89</v>
      </c>
      <c r="G6" s="70" t="s">
        <v>90</v>
      </c>
      <c r="H6" s="71" t="s">
        <v>91</v>
      </c>
    </row>
    <row r="7" ht="8" customHeight="1" x14ac:dyDescent="0.25"/>
    <row r="8" ht="32" customHeight="1" spans="2:8" x14ac:dyDescent="0.25">
      <c r="B8" s="58" t="s">
        <v>92</v>
      </c>
      <c r="C8" s="58"/>
      <c r="D8" s="58"/>
      <c r="E8" s="58"/>
      <c r="F8" s="58"/>
      <c r="G8" s="58"/>
      <c r="H8" s="58"/>
    </row>
    <row r="9" ht="28" customHeight="1" spans="2:8" x14ac:dyDescent="0.25">
      <c r="B9" s="72" t="s">
        <v>93</v>
      </c>
      <c r="C9" s="73" t="s">
        <v>94</v>
      </c>
      <c r="D9" s="74" t="s">
        <v>95</v>
      </c>
      <c r="E9" s="75" t="s">
        <v>96</v>
      </c>
      <c r="F9" s="76" t="s">
        <v>97</v>
      </c>
      <c r="G9" s="77" t="s">
        <v>98</v>
      </c>
      <c r="H9" s="78" t="s">
        <v>99</v>
      </c>
    </row>
    <row r="10" ht="28" customHeight="1" spans="2:8" x14ac:dyDescent="0.25">
      <c r="B10" s="79" t="s">
        <v>100</v>
      </c>
      <c r="C10" s="80" t="s">
        <v>101</v>
      </c>
      <c r="D10" s="81" t="s">
        <v>102</v>
      </c>
      <c r="E10" s="82" t="s">
        <v>103</v>
      </c>
      <c r="F10" s="83" t="s">
        <v>104</v>
      </c>
      <c r="G10" s="84" t="s">
        <v>105</v>
      </c>
      <c r="H10" s="85" t="s">
        <v>106</v>
      </c>
    </row>
    <row r="11" ht="28" customHeight="1" spans="2:8" x14ac:dyDescent="0.25">
      <c r="B11" s="86" t="s">
        <v>107</v>
      </c>
      <c r="C11" s="87" t="s">
        <v>108</v>
      </c>
      <c r="D11" s="88" t="s">
        <v>109</v>
      </c>
      <c r="E11" s="89" t="s">
        <v>110</v>
      </c>
      <c r="F11" s="90" t="s">
        <v>111</v>
      </c>
      <c r="G11" s="91" t="s">
        <v>112</v>
      </c>
      <c r="H11" s="92" t="s">
        <v>113</v>
      </c>
    </row>
    <row r="12" ht="28" customHeight="1" spans="2:8" x14ac:dyDescent="0.25">
      <c r="B12" s="93" t="s">
        <v>114</v>
      </c>
      <c r="C12" s="94" t="s">
        <v>115</v>
      </c>
      <c r="D12" s="95" t="s">
        <v>116</v>
      </c>
      <c r="E12" s="96" t="s">
        <v>117</v>
      </c>
      <c r="F12" s="97" t="s">
        <v>118</v>
      </c>
      <c r="G12" s="98" t="s">
        <v>119</v>
      </c>
      <c r="H12" s="99" t="s">
        <v>120</v>
      </c>
    </row>
    <row r="13" ht="28" customHeight="1" spans="2:8" x14ac:dyDescent="0.25">
      <c r="B13" s="100" t="s">
        <v>121</v>
      </c>
      <c r="C13" s="101" t="s">
        <v>122</v>
      </c>
      <c r="D13" s="102" t="s">
        <v>123</v>
      </c>
      <c r="E13" s="103" t="s">
        <v>124</v>
      </c>
      <c r="F13" s="104" t="s">
        <v>125</v>
      </c>
      <c r="G13" s="105" t="s">
        <v>126</v>
      </c>
      <c r="H13" s="106" t="s">
        <v>127</v>
      </c>
    </row>
    <row r="14" ht="8" customHeight="1" x14ac:dyDescent="0.25"/>
    <row r="15" ht="32" customHeight="1" spans="2:8" x14ac:dyDescent="0.25">
      <c r="B15" s="58" t="s">
        <v>128</v>
      </c>
      <c r="C15" s="58"/>
      <c r="D15" s="58"/>
      <c r="E15" s="58"/>
      <c r="F15" s="58"/>
      <c r="G15" s="58"/>
      <c r="H15" s="58"/>
    </row>
    <row r="16" ht="36" customHeight="1" spans="2:7" x14ac:dyDescent="0.25">
      <c r="B16" s="107" t="s">
        <v>129</v>
      </c>
      <c r="C16" s="108" t="s">
        <v>130</v>
      </c>
      <c r="D16" s="109" t="s">
        <v>131</v>
      </c>
      <c r="E16" s="110" t="s">
        <v>132</v>
      </c>
      <c r="F16" s="111" t="s">
        <v>133</v>
      </c>
      <c r="G16" s="112" t="s">
        <v>134</v>
      </c>
    </row>
    <row r="17" ht="8" customHeight="1" x14ac:dyDescent="0.25"/>
    <row r="18" ht="32" customHeight="1" spans="2:8" x14ac:dyDescent="0.25">
      <c r="B18" s="58" t="s">
        <v>135</v>
      </c>
      <c r="C18" s="58"/>
      <c r="D18" s="58"/>
      <c r="E18" s="58"/>
      <c r="F18" s="58"/>
      <c r="G18" s="58"/>
      <c r="H18" s="58"/>
    </row>
    <row r="19" ht="20" customHeight="1" spans="3:5" x14ac:dyDescent="0.25">
      <c r="C19" s="113" t="s">
        <v>136</v>
      </c>
      <c r="D19" s="113" t="s">
        <v>137</v>
      </c>
      <c r="E19" s="113" t="s">
        <v>138</v>
      </c>
    </row>
    <row r="20" ht="36" customHeight="1" spans="2:5" x14ac:dyDescent="0.25">
      <c r="B20" s="114" t="s">
        <v>139</v>
      </c>
      <c r="C20" s="115" t="s">
        <v>140</v>
      </c>
      <c r="D20" s="116" t="s">
        <v>141</v>
      </c>
      <c r="E20" s="117" t="s">
        <v>142</v>
      </c>
    </row>
    <row r="21" ht="36" customHeight="1" spans="2:5" x14ac:dyDescent="0.25">
      <c r="B21" s="114" t="s">
        <v>143</v>
      </c>
      <c r="C21" s="118" t="s">
        <v>144</v>
      </c>
      <c r="D21" s="119" t="s">
        <v>145</v>
      </c>
      <c r="E21" s="120" t="s">
        <v>146</v>
      </c>
    </row>
    <row r="22" ht="36" customHeight="1" spans="2:5" x14ac:dyDescent="0.25">
      <c r="B22" s="114" t="s">
        <v>147</v>
      </c>
      <c r="C22" s="121" t="s">
        <v>148</v>
      </c>
      <c r="D22" s="122" t="s">
        <v>149</v>
      </c>
      <c r="E22" s="123" t="s">
        <v>150</v>
      </c>
    </row>
    <row r="23" ht="8" customHeight="1" x14ac:dyDescent="0.25"/>
    <row r="24" ht="32" customHeight="1" spans="2:8" x14ac:dyDescent="0.25">
      <c r="B24" s="58" t="s">
        <v>151</v>
      </c>
      <c r="C24" s="58"/>
      <c r="D24" s="58"/>
      <c r="E24" s="58"/>
      <c r="F24" s="58"/>
      <c r="G24" s="58"/>
      <c r="H24" s="58"/>
    </row>
    <row r="25" ht="56" customHeight="1" spans="2:8" x14ac:dyDescent="0.25">
      <c r="B25" s="124" t="s">
        <v>152</v>
      </c>
      <c r="D25" s="125" t="s">
        <v>153</v>
      </c>
      <c r="E25" s="125"/>
      <c r="F25" s="125"/>
      <c r="G25" s="126" t="s">
        <v>154</v>
      </c>
      <c r="H25" s="126"/>
    </row>
    <row r="26" ht="28" customHeight="1" spans="4:6" x14ac:dyDescent="0.25">
      <c r="D26" s="125"/>
      <c r="E26" s="125"/>
      <c r="F26" s="125"/>
    </row>
    <row r="27" ht="8" customHeight="1" x14ac:dyDescent="0.25"/>
    <row r="28" ht="32" customHeight="1" spans="2:8" x14ac:dyDescent="0.25">
      <c r="B28" s="58" t="s">
        <v>155</v>
      </c>
      <c r="C28" s="58"/>
      <c r="D28" s="58"/>
      <c r="E28" s="58"/>
      <c r="F28" s="58"/>
      <c r="G28" s="58"/>
      <c r="H28" s="58"/>
    </row>
    <row r="29" ht="24" customHeight="1" spans="2:4" x14ac:dyDescent="0.25">
      <c r="B29" s="127" t="s">
        <v>156</v>
      </c>
      <c r="C29" s="127" t="s">
        <v>157</v>
      </c>
      <c r="D29" s="127" t="s">
        <v>158</v>
      </c>
    </row>
    <row r="30" ht="24" customHeight="1" spans="2:4" x14ac:dyDescent="0.25">
      <c r="B30" s="128" t="s">
        <v>159</v>
      </c>
      <c r="C30" s="129">
        <v>1234567.89</v>
      </c>
      <c r="D30" s="130" t="s">
        <v>160</v>
      </c>
    </row>
    <row r="31" ht="24" customHeight="1" spans="2:4" x14ac:dyDescent="0.25">
      <c r="B31" s="128" t="s">
        <v>161</v>
      </c>
      <c r="C31" s="131">
        <v>-1234567.89</v>
      </c>
      <c r="D31" s="130" t="s">
        <v>162</v>
      </c>
    </row>
    <row r="32" ht="24" customHeight="1" spans="2:4" x14ac:dyDescent="0.25">
      <c r="B32" s="128" t="s">
        <v>163</v>
      </c>
      <c r="C32" s="132">
        <v>0.8525</v>
      </c>
      <c r="D32" s="130" t="s">
        <v>164</v>
      </c>
    </row>
    <row r="33" ht="24" customHeight="1" spans="2:4" x14ac:dyDescent="0.25">
      <c r="B33" s="128" t="s">
        <v>165</v>
      </c>
      <c r="C33" s="133">
        <v>123456789</v>
      </c>
      <c r="D33" s="130" t="s">
        <v>166</v>
      </c>
    </row>
    <row r="34" ht="24" customHeight="1" spans="2:4" x14ac:dyDescent="0.25">
      <c r="B34" s="128" t="s">
        <v>167</v>
      </c>
      <c r="C34" s="134">
        <v>0.375</v>
      </c>
      <c r="D34" s="130" t="s">
        <v>168</v>
      </c>
    </row>
    <row r="35" ht="24" customHeight="1" spans="2:4" x14ac:dyDescent="0.25">
      <c r="B35" s="128" t="s">
        <v>169</v>
      </c>
      <c r="C35" s="135">
        <v>46120</v>
      </c>
      <c r="D35" s="130" t="s">
        <v>170</v>
      </c>
    </row>
    <row r="36" ht="24" customHeight="1" spans="2:4" x14ac:dyDescent="0.25">
      <c r="B36" s="128" t="s">
        <v>171</v>
      </c>
      <c r="C36" s="136">
        <v>1234567</v>
      </c>
      <c r="D36" s="130" t="s">
        <v>172</v>
      </c>
    </row>
  </sheetData>
  <mergeCells count="9">
    <mergeCell ref="B1:H1"/>
    <mergeCell ref="B5:H5"/>
    <mergeCell ref="B8:H8"/>
    <mergeCell ref="B15:H15"/>
    <mergeCell ref="B18:H18"/>
    <mergeCell ref="B24:H24"/>
    <mergeCell ref="D25:F26"/>
    <mergeCell ref="G25:H25"/>
    <mergeCell ref="B28: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Formatting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</dc:creator>
  <dc:title/>
  <dc:subject/>
  <dc:description/>
  <cp:keywords/>
  <cp:category/>
  <cp:lastModifiedBy>Unknown</cp:lastModifiedBy>
  <dcterms:created xsi:type="dcterms:W3CDTF">2026-04-09T04:29:31Z</dcterms:created>
  <dcterms:modified xsi:type="dcterms:W3CDTF">2026-04-09T04:29:31Z</dcterms:modified>
</cp:coreProperties>
</file>